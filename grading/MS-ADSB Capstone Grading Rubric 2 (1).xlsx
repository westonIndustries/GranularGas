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v8zu1hbtp0xeBWYP+prPW+uTgyhJDZUV3Igm7CNCbJI="/>
    </ext>
  </extLst>
</workbook>
</file>

<file path=xl/sharedStrings.xml><?xml version="1.0" encoding="utf-8"?>
<sst xmlns="http://schemas.openxmlformats.org/spreadsheetml/2006/main" count="37" uniqueCount="37">
  <si>
    <t>MS-ADSB Capstone Program Grading Rubric</t>
  </si>
  <si>
    <t>Item</t>
  </si>
  <si>
    <t>Due Date</t>
  </si>
  <si>
    <t>Points</t>
  </si>
  <si>
    <t>Danny Politoski</t>
  </si>
  <si>
    <t>Team Member 2</t>
  </si>
  <si>
    <t>Team Member 3</t>
  </si>
  <si>
    <t>Team Member 4</t>
  </si>
  <si>
    <t>Team Member 5</t>
  </si>
  <si>
    <t>Late Submission Deduction (20%)</t>
  </si>
  <si>
    <t>Teams Formation</t>
  </si>
  <si>
    <t>Project “Pitch” Submitted</t>
  </si>
  <si>
    <t>Capstone Kickoff Meeting Attendance</t>
  </si>
  <si>
    <t>Personal Project Goals: Part 1</t>
  </si>
  <si>
    <t>Team Contract</t>
  </si>
  <si>
    <t>First Draft of Scope</t>
  </si>
  <si>
    <t>Final Signed Scope</t>
  </si>
  <si>
    <t>Scope Feedback and Grade</t>
  </si>
  <si>
    <t>Personal Mid-Project Review: Part 2</t>
  </si>
  <si>
    <t>1-Page Project Description</t>
  </si>
  <si>
    <t>Mid-Project Advisor Dry Run Attendance</t>
  </si>
  <si>
    <t>Mid-Project Review Feedback &amp; Grade</t>
  </si>
  <si>
    <t>Completion Plan</t>
  </si>
  <si>
    <t>Final Project Personal Review: Part 3</t>
  </si>
  <si>
    <t>Final Project Dry Run</t>
  </si>
  <si>
    <t>Final Client Presentation</t>
  </si>
  <si>
    <t>Final Client Deliverables</t>
  </si>
  <si>
    <t>Client Feedback</t>
  </si>
  <si>
    <t>Advisor Team Dynamic Assessment</t>
  </si>
  <si>
    <t>Total Points Available:</t>
  </si>
  <si>
    <t>“A"</t>
  </si>
  <si>
    <t>“A-“</t>
  </si>
  <si>
    <t>“B+”</t>
  </si>
  <si>
    <t>“B“</t>
  </si>
  <si>
    <t>“B-“</t>
  </si>
  <si>
    <t>“C+”</t>
  </si>
  <si>
    <t>“C”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</si>
</sst>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6">
    <font>
      <sz val="10.0"/>
      <color rgb="FF000000"/>
      <name val="Helvetica Neue"/>
      <scheme val="minor"/>
    </font>
    <font>
      <b/>
      <sz val="24.0"/>
      <color rgb="FF000000"/>
      <name val="Helvetica Neue"/>
    </font>
    <font/>
    <font>
      <sz val="10.0"/>
      <color rgb="FF000000"/>
      <name val="Helvetica Neue"/>
    </font>
    <font>
      <b/>
      <sz val="10.0"/>
      <color rgb="FF000000"/>
      <name val="Helvetica Neue"/>
    </font>
    <font>
      <b/>
      <sz val="18.0"/>
      <color rgb="FF00000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11">
    <border/>
    <border>
      <left style="thin">
        <color rgb="FFAAAAAA"/>
      </left>
      <top style="thin">
        <color rgb="FFAAAAAA"/>
      </top>
      <bottom style="thin">
        <color rgb="FFA5A5A5"/>
      </bottom>
    </border>
    <border>
      <top style="thin">
        <color rgb="FFAAAAAA"/>
      </top>
      <bottom style="thin">
        <color rgb="FFA5A5A5"/>
      </bottom>
    </border>
    <border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horizontal="center" shrinkToFit="0" vertical="center" wrapText="0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4" fillId="3" fontId="4" numFmtId="49" xfId="0" applyAlignment="1" applyBorder="1" applyFill="1" applyFont="1" applyNumberFormat="1">
      <alignment horizontal="center" shrinkToFit="0" vertical="top" wrapText="1"/>
    </xf>
    <xf borderId="4" fillId="3" fontId="4" numFmtId="49" xfId="0" applyAlignment="1" applyBorder="1" applyFont="1" applyNumberFormat="1">
      <alignment horizontal="center" readingOrder="0" shrinkToFit="0" vertical="top" wrapText="1"/>
    </xf>
    <xf borderId="5" fillId="4" fontId="4" numFmtId="49" xfId="0" applyAlignment="1" applyBorder="1" applyFill="1" applyFont="1" applyNumberFormat="1">
      <alignment shrinkToFit="0" vertical="top" wrapText="1"/>
    </xf>
    <xf borderId="6" fillId="2" fontId="3" numFmtId="164" xfId="0" applyAlignment="1" applyBorder="1" applyFont="1" applyNumberFormat="1">
      <alignment shrinkToFit="0" vertical="top" wrapText="1"/>
    </xf>
    <xf borderId="7" fillId="2" fontId="3" numFmtId="0" xfId="0" applyAlignment="1" applyBorder="1" applyFont="1">
      <alignment shrinkToFit="0" vertical="top" wrapText="1"/>
    </xf>
    <xf borderId="8" fillId="4" fontId="4" numFmtId="49" xfId="0" applyAlignment="1" applyBorder="1" applyFont="1" applyNumberFormat="1">
      <alignment shrinkToFit="0" vertical="top" wrapText="1"/>
    </xf>
    <xf borderId="9" fillId="2" fontId="3" numFmtId="164" xfId="0" applyAlignment="1" applyBorder="1" applyFont="1" applyNumberFormat="1">
      <alignment shrinkToFit="0" vertical="top" wrapText="1"/>
    </xf>
    <xf borderId="10" fillId="2" fontId="3" numFmtId="0" xfId="0" applyAlignment="1" applyBorder="1" applyFont="1">
      <alignment shrinkToFit="0" vertical="top" wrapText="1"/>
    </xf>
    <xf borderId="8" fillId="4" fontId="5" numFmtId="49" xfId="0" applyAlignment="1" applyBorder="1" applyFont="1" applyNumberFormat="1">
      <alignment shrinkToFit="0" vertical="top" wrapText="1"/>
    </xf>
    <xf borderId="9" fillId="2" fontId="5" numFmtId="9" xfId="0" applyAlignment="1" applyBorder="1" applyFont="1" applyNumberFormat="1">
      <alignment shrinkToFit="0" vertical="top" wrapText="1"/>
    </xf>
    <xf borderId="10" fillId="2" fontId="5" numFmtId="0" xfId="0" applyAlignment="1" applyBorder="1" applyFont="1">
      <alignment shrinkToFit="0" vertical="top" wrapText="1"/>
    </xf>
    <xf borderId="8" fillId="4" fontId="5" numFmtId="0" xfId="0" applyAlignment="1" applyBorder="1" applyFont="1">
      <alignment shrinkToFit="0" vertical="top" wrapText="1"/>
    </xf>
    <xf borderId="9" fillId="2" fontId="5" numFmtId="49" xfId="0" applyAlignment="1" applyBorder="1" applyFont="1" applyNumberFormat="1">
      <alignment horizontal="right" shrinkToFit="0" vertical="top" wrapText="1"/>
    </xf>
    <xf borderId="10" fillId="2" fontId="5" numFmtId="1" xfId="0" applyAlignment="1" applyBorder="1" applyFont="1" applyNumberFormat="1">
      <alignment shrinkToFit="0" vertical="top" wrapText="1"/>
    </xf>
    <xf borderId="8" fillId="4" fontId="4" numFmtId="0" xfId="0" applyAlignment="1" applyBorder="1" applyFont="1">
      <alignment shrinkToFit="0" vertical="top" wrapText="1"/>
    </xf>
    <xf borderId="9" fillId="2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6.14"/>
    <col customWidth="1" min="2" max="26" width="16.29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7" t="s">
        <v>10</v>
      </c>
      <c r="B3" s="8">
        <v>45992.0</v>
      </c>
      <c r="C3" s="9">
        <v>50.0</v>
      </c>
      <c r="D3" s="9">
        <v>50.0</v>
      </c>
      <c r="E3" s="9">
        <v>50.0</v>
      </c>
      <c r="F3" s="9">
        <v>50.0</v>
      </c>
      <c r="G3" s="9">
        <v>50.0</v>
      </c>
      <c r="H3" s="9">
        <v>50.0</v>
      </c>
      <c r="I3" s="9">
        <f t="array" ref="I3">C3*0.2</f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0" t="s">
        <v>11</v>
      </c>
      <c r="B4" s="11">
        <v>46006.0</v>
      </c>
      <c r="C4" s="12">
        <v>50.0</v>
      </c>
      <c r="D4" s="12">
        <v>50.0</v>
      </c>
      <c r="E4" s="12">
        <v>50.0</v>
      </c>
      <c r="F4" s="12">
        <v>50.0</v>
      </c>
      <c r="G4" s="12">
        <v>50.0</v>
      </c>
      <c r="H4" s="12">
        <v>50.0</v>
      </c>
      <c r="I4" s="12">
        <f t="array" ref="I4">C4*0.2</f>
        <v>10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0" t="s">
        <v>12</v>
      </c>
      <c r="B5" s="11">
        <v>46037.0</v>
      </c>
      <c r="C5" s="12">
        <v>50.0</v>
      </c>
      <c r="D5" s="12">
        <v>50.0</v>
      </c>
      <c r="E5" s="12">
        <v>50.0</v>
      </c>
      <c r="F5" s="12">
        <v>50.0</v>
      </c>
      <c r="G5" s="12">
        <v>50.0</v>
      </c>
      <c r="H5" s="12">
        <v>50.0</v>
      </c>
      <c r="I5" s="12">
        <f t="array" ref="I5">C5*0.2</f>
        <v>10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0" t="s">
        <v>13</v>
      </c>
      <c r="B6" s="11">
        <v>46054.0</v>
      </c>
      <c r="C6" s="12">
        <v>50.0</v>
      </c>
      <c r="D6" s="12"/>
      <c r="E6" s="12"/>
      <c r="F6" s="12"/>
      <c r="G6" s="12"/>
      <c r="H6" s="12"/>
      <c r="I6" s="12">
        <f t="array" ref="I6">C6*0.2</f>
        <v>10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0" t="s">
        <v>14</v>
      </c>
      <c r="B7" s="11">
        <v>46054.0</v>
      </c>
      <c r="C7" s="12">
        <v>50.0</v>
      </c>
      <c r="D7" s="12"/>
      <c r="E7" s="12"/>
      <c r="F7" s="12"/>
      <c r="G7" s="12"/>
      <c r="H7" s="12"/>
      <c r="I7" s="12">
        <f t="array" ref="I7">C7*0.2</f>
        <v>10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0" t="s">
        <v>15</v>
      </c>
      <c r="B8" s="11">
        <v>46068.0</v>
      </c>
      <c r="C8" s="12">
        <v>50.0</v>
      </c>
      <c r="D8" s="12">
        <v>50.0</v>
      </c>
      <c r="E8" s="12">
        <v>50.0</v>
      </c>
      <c r="F8" s="12">
        <v>50.0</v>
      </c>
      <c r="G8" s="12">
        <v>50.0</v>
      </c>
      <c r="H8" s="12">
        <v>50.0</v>
      </c>
      <c r="I8" s="12">
        <f t="array" ref="I8">C8*0.2</f>
        <v>10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0" t="s">
        <v>16</v>
      </c>
      <c r="B9" s="11">
        <v>46081.0</v>
      </c>
      <c r="C9" s="12">
        <v>50.0</v>
      </c>
      <c r="D9" s="12"/>
      <c r="E9" s="12"/>
      <c r="F9" s="12"/>
      <c r="G9" s="12"/>
      <c r="H9" s="12"/>
      <c r="I9" s="12">
        <f t="array" ref="I9">C9*0.2</f>
        <v>10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10" t="s">
        <v>17</v>
      </c>
      <c r="B10" s="11">
        <v>46088.0</v>
      </c>
      <c r="C10" s="12">
        <v>100.0</v>
      </c>
      <c r="D10" s="12"/>
      <c r="E10" s="12"/>
      <c r="F10" s="12"/>
      <c r="G10" s="12"/>
      <c r="H10" s="12"/>
      <c r="I10" s="12">
        <f t="array" ref="I10">C10*0.2</f>
        <v>20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0.25" customHeight="1">
      <c r="A11" s="10" t="s">
        <v>18</v>
      </c>
      <c r="B11" s="11">
        <v>46104.0</v>
      </c>
      <c r="C11" s="12">
        <v>50.0</v>
      </c>
      <c r="D11" s="12"/>
      <c r="E11" s="12"/>
      <c r="F11" s="12"/>
      <c r="G11" s="12"/>
      <c r="H11" s="12"/>
      <c r="I11" s="12">
        <f t="array" ref="I11">C11*0.2</f>
        <v>10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10" t="s">
        <v>19</v>
      </c>
      <c r="B12" s="11">
        <v>46104.0</v>
      </c>
      <c r="C12" s="12">
        <v>50.0</v>
      </c>
      <c r="D12" s="12"/>
      <c r="E12" s="12"/>
      <c r="F12" s="12"/>
      <c r="G12" s="12"/>
      <c r="H12" s="12"/>
      <c r="I12" s="12">
        <f t="array" ref="I12">C12*0.2</f>
        <v>10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0" t="s">
        <v>20</v>
      </c>
      <c r="B13" s="11">
        <v>46114.0</v>
      </c>
      <c r="C13" s="12">
        <v>50.0</v>
      </c>
      <c r="D13" s="12"/>
      <c r="E13" s="12"/>
      <c r="F13" s="12"/>
      <c r="G13" s="12"/>
      <c r="H13" s="12"/>
      <c r="I13" s="12">
        <f t="array" ref="I13">C13*0.2</f>
        <v>10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10" t="s">
        <v>21</v>
      </c>
      <c r="B14" s="11">
        <v>46121.0</v>
      </c>
      <c r="C14" s="12">
        <v>100.0</v>
      </c>
      <c r="D14" s="12"/>
      <c r="E14" s="12"/>
      <c r="F14" s="12"/>
      <c r="G14" s="12"/>
      <c r="H14" s="12"/>
      <c r="I14" s="12">
        <f t="array" ref="I14">C14*0.2</f>
        <v>20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0" t="s">
        <v>22</v>
      </c>
      <c r="B15" s="11">
        <v>46128.0</v>
      </c>
      <c r="C15" s="12">
        <v>100.0</v>
      </c>
      <c r="D15" s="12"/>
      <c r="E15" s="12"/>
      <c r="F15" s="12"/>
      <c r="G15" s="12"/>
      <c r="H15" s="12"/>
      <c r="I15" s="12">
        <f t="array" ref="I15">C15*0.2</f>
        <v>20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0" t="s">
        <v>23</v>
      </c>
      <c r="B16" s="11">
        <v>46174.0</v>
      </c>
      <c r="C16" s="12">
        <v>100.0</v>
      </c>
      <c r="D16" s="12"/>
      <c r="E16" s="12"/>
      <c r="F16" s="12"/>
      <c r="G16" s="12"/>
      <c r="H16" s="12"/>
      <c r="I16" s="12">
        <f t="array" ref="I16">C16*0.2</f>
        <v>20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10" t="s">
        <v>24</v>
      </c>
      <c r="B17" s="11">
        <v>46170.0</v>
      </c>
      <c r="C17" s="12">
        <v>150.0</v>
      </c>
      <c r="D17" s="12"/>
      <c r="E17" s="12"/>
      <c r="F17" s="12"/>
      <c r="G17" s="12"/>
      <c r="H17" s="12"/>
      <c r="I17" s="12">
        <f t="array" ref="I17">C17*0.2</f>
        <v>30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10" t="s">
        <v>25</v>
      </c>
      <c r="B18" s="11">
        <v>46183.0</v>
      </c>
      <c r="C18" s="12">
        <v>300.0</v>
      </c>
      <c r="D18" s="12"/>
      <c r="E18" s="12"/>
      <c r="F18" s="12"/>
      <c r="G18" s="12"/>
      <c r="H18" s="12"/>
      <c r="I18" s="12">
        <f t="array" ref="I18">C18*0.2</f>
        <v>60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10" t="s">
        <v>26</v>
      </c>
      <c r="B19" s="11">
        <v>46183.0</v>
      </c>
      <c r="C19" s="12">
        <v>300.0</v>
      </c>
      <c r="D19" s="12"/>
      <c r="E19" s="12"/>
      <c r="F19" s="12"/>
      <c r="G19" s="12"/>
      <c r="H19" s="12"/>
      <c r="I19" s="12">
        <f t="array" ref="I19">C19*0.2</f>
        <v>60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10" t="s">
        <v>27</v>
      </c>
      <c r="B20" s="11">
        <v>46183.0</v>
      </c>
      <c r="C20" s="12">
        <v>200.0</v>
      </c>
      <c r="D20" s="12"/>
      <c r="E20" s="12"/>
      <c r="F20" s="12"/>
      <c r="G20" s="12"/>
      <c r="H20" s="12"/>
      <c r="I20" s="12">
        <f t="array" ref="I20">C20*0.2</f>
        <v>40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10" t="s">
        <v>28</v>
      </c>
      <c r="B21" s="11">
        <v>46183.0</v>
      </c>
      <c r="C21" s="12">
        <v>150.0</v>
      </c>
      <c r="D21" s="12"/>
      <c r="E21" s="12"/>
      <c r="F21" s="12"/>
      <c r="G21" s="12"/>
      <c r="H21" s="12"/>
      <c r="I21" s="12">
        <f t="array" ref="I21">C21*0.2</f>
        <v>30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75" customHeight="1">
      <c r="A22" s="13" t="s">
        <v>29</v>
      </c>
      <c r="B22" s="14">
        <v>1.0</v>
      </c>
      <c r="C22" s="15">
        <f t="array" ref="C22">SUM(C3:C21)</f>
        <v>2000</v>
      </c>
      <c r="D22" s="12">
        <f t="array" ref="D22">SUM(D3:D21)</f>
        <v>200</v>
      </c>
      <c r="E22" s="12">
        <f t="array" ref="E22">SUM(E3:E21)</f>
        <v>200</v>
      </c>
      <c r="F22" s="12">
        <f t="array" ref="F22">SUM(F3:F21)</f>
        <v>200</v>
      </c>
      <c r="G22" s="12">
        <f t="array" ref="G22">SUM(G3:G21)</f>
        <v>200</v>
      </c>
      <c r="H22" s="12">
        <f t="array" ref="H22">SUM(H3:H21)</f>
        <v>200</v>
      </c>
      <c r="I22" s="1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75" customHeight="1">
      <c r="A23" s="16"/>
      <c r="B23" s="17" t="s">
        <v>30</v>
      </c>
      <c r="C23" s="18">
        <f t="array" ref="C23">C22*0.93</f>
        <v>1860</v>
      </c>
      <c r="D23" s="12"/>
      <c r="E23" s="12"/>
      <c r="F23" s="12"/>
      <c r="G23" s="12"/>
      <c r="H23" s="12"/>
      <c r="I23" s="1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75" customHeight="1">
      <c r="A24" s="16"/>
      <c r="B24" s="17" t="s">
        <v>31</v>
      </c>
      <c r="C24" s="18">
        <f t="array" ref="C24">C22*0.9</f>
        <v>1800</v>
      </c>
      <c r="D24" s="12"/>
      <c r="E24" s="12"/>
      <c r="F24" s="12"/>
      <c r="G24" s="12"/>
      <c r="H24" s="12"/>
      <c r="I24" s="12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75" customHeight="1">
      <c r="A25" s="16"/>
      <c r="B25" s="17" t="s">
        <v>32</v>
      </c>
      <c r="C25" s="18">
        <f t="array" ref="C25">C22*0.87</f>
        <v>1740</v>
      </c>
      <c r="D25" s="12"/>
      <c r="E25" s="12"/>
      <c r="F25" s="12"/>
      <c r="G25" s="12"/>
      <c r="H25" s="12"/>
      <c r="I25" s="1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75" customHeight="1">
      <c r="A26" s="16"/>
      <c r="B26" s="17" t="s">
        <v>33</v>
      </c>
      <c r="C26" s="18">
        <f t="array" ref="C26">C22*0.83</f>
        <v>1660</v>
      </c>
      <c r="D26" s="12"/>
      <c r="E26" s="12"/>
      <c r="F26" s="12"/>
      <c r="G26" s="12"/>
      <c r="H26" s="12"/>
      <c r="I26" s="1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75" customHeight="1">
      <c r="A27" s="19"/>
      <c r="B27" s="17" t="s">
        <v>34</v>
      </c>
      <c r="C27" s="18">
        <f t="array" ref="C27">C22*0.8</f>
        <v>1600</v>
      </c>
      <c r="D27" s="12"/>
      <c r="E27" s="12"/>
      <c r="F27" s="12"/>
      <c r="G27" s="12"/>
      <c r="H27" s="12"/>
      <c r="I27" s="1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75" customHeight="1">
      <c r="A28" s="19"/>
      <c r="B28" s="17" t="s">
        <v>35</v>
      </c>
      <c r="C28" s="18">
        <f t="array" ref="C28">C22*0.77</f>
        <v>1540</v>
      </c>
      <c r="D28" s="12"/>
      <c r="E28" s="12"/>
      <c r="F28" s="12"/>
      <c r="G28" s="12"/>
      <c r="H28" s="12"/>
      <c r="I28" s="1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75" customHeight="1">
      <c r="A29" s="19"/>
      <c r="B29" s="17" t="s">
        <v>36</v>
      </c>
      <c r="C29" s="18">
        <f t="array" ref="C29">C22*0.73</f>
        <v>1460</v>
      </c>
      <c r="D29" s="12"/>
      <c r="E29" s="12"/>
      <c r="F29" s="12"/>
      <c r="G29" s="12"/>
      <c r="H29" s="12"/>
      <c r="I29" s="1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19"/>
      <c r="B30" s="20"/>
      <c r="C30" s="12"/>
      <c r="D30" s="12"/>
      <c r="E30" s="12"/>
      <c r="F30" s="12"/>
      <c r="G30" s="12"/>
      <c r="H30" s="12"/>
      <c r="I30" s="12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I1"/>
  </mergeCells>
  <printOptions/>
  <pageMargins bottom="0.75" footer="0.0" header="0.0" left="0.5" right="0.5" top="0.75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