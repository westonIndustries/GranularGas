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<sst xmlns="http://schemas.openxmlformats.org/spreadsheetml/2006/main" uniqueCount="37">
  <si>
    <t>MS-ADSB Capstone Program Grading Rubric</t>
  </si>
  <si>
    <t>Item</t>
  </si>
  <si>
    <t>Due Date</t>
  </si>
  <si>
    <t>Points</t>
  </si>
  <si>
    <t>Team Member 1</t>
  </si>
  <si>
    <t>Team Member 2</t>
  </si>
  <si>
    <t>Team Member 3</t>
  </si>
  <si>
    <t>Team Member 4</t>
  </si>
  <si>
    <t>Team Member 5</t>
  </si>
  <si>
    <t>Late Submission Deduction (20%)</t>
  </si>
  <si>
    <t>Teams Formation</t>
  </si>
  <si>
    <t>Project “Pitch” Submitted</t>
  </si>
  <si>
    <t>Capstone Kickoff Meeting Attendance</t>
  </si>
  <si>
    <t>Personal Project Goals: Part 1</t>
  </si>
  <si>
    <t>Team Contract</t>
  </si>
  <si>
    <t>First Draft of Scope</t>
  </si>
  <si>
    <t>Final Signed Scope</t>
  </si>
  <si>
    <t>Scope Feedback and Grade</t>
  </si>
  <si>
    <t>Personal Mid-Project Review: Part 2</t>
  </si>
  <si>
    <t>1-Page Project Description</t>
  </si>
  <si>
    <t>Mid-Project Advisor Dry Run Attendance</t>
  </si>
  <si>
    <t>Mid-Project Review Feedback &amp; Grade</t>
  </si>
  <si>
    <t>Completion Plan</t>
  </si>
  <si>
    <t>Final Project Personal Review: Part 3</t>
  </si>
  <si>
    <t>Final Project Dry Run</t>
  </si>
  <si>
    <t>Final Client Presentation</t>
  </si>
  <si>
    <t>Final Client Deliverables</t>
  </si>
  <si>
    <t>Client Feedback</t>
  </si>
  <si>
    <t>Advisor Team Dynamic Assessment</t>
  </si>
  <si>
    <t>Total Points Available:</t>
  </si>
  <si>
    <t>“A"</t>
  </si>
  <si>
    <t>“A-“</t>
  </si>
  <si>
    <t>“B+”</t>
  </si>
  <si>
    <t>“B“</t>
  </si>
  <si>
    <t>“B-“</t>
  </si>
  <si>
    <t>“C+”</t>
  </si>
  <si>
    <t>“C”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</si>
</sst>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mmm d, yyyy"/>
  </numFmts>
  <fonts count="6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24"/>
      <color indexed="8"/>
      <name val="Helvetica Neue"/>
    </font>
    <font>
      <b val="1"/>
      <sz val="10"/>
      <color indexed="8"/>
      <name val="Helvetica Neue"/>
    </font>
    <font>
      <b val="1"/>
      <sz val="18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11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/>
      <right/>
      <top style="thin">
        <color indexed="10"/>
      </top>
      <bottom style="thin">
        <color indexed="11"/>
      </bottom>
      <diagonal/>
    </border>
    <border>
      <left/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1"/>
      </left>
      <right style="thin">
        <color indexed="13"/>
      </right>
      <top style="thin">
        <color indexed="13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3"/>
      </right>
      <top style="thin">
        <color indexed="11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horizontal="center" vertical="center"/>
    </xf>
    <xf numFmtId="0" fontId="3" fillId="2" borderId="2" applyNumberFormat="0" applyFont="1" applyFill="1" applyBorder="1" applyAlignment="1" applyProtection="0">
      <alignment horizontal="center" vertical="center"/>
    </xf>
    <xf numFmtId="0" fontId="3" fillId="2" borderId="3" applyNumberFormat="0" applyFont="1" applyFill="1" applyBorder="1" applyAlignment="1" applyProtection="0">
      <alignment horizontal="center" vertical="center"/>
    </xf>
    <xf numFmtId="49" fontId="4" fillId="3" borderId="4" applyNumberFormat="1" applyFont="1" applyFill="1" applyBorder="1" applyAlignment="1" applyProtection="0">
      <alignment horizontal="center" vertical="top" wrapText="1"/>
    </xf>
    <xf numFmtId="49" fontId="4" fillId="4" borderId="5" applyNumberFormat="1" applyFont="1" applyFill="1" applyBorder="1" applyAlignment="1" applyProtection="0">
      <alignment vertical="top" wrapText="1"/>
    </xf>
    <xf numFmtId="59" fontId="0" fillId="2" borderId="6" applyNumberFormat="1" applyFont="1" applyFill="1" applyBorder="1" applyAlignment="1" applyProtection="0">
      <alignment vertical="top" wrapText="1"/>
    </xf>
    <xf numFmtId="0" fontId="0" fillId="2" borderId="7" applyNumberFormat="1" applyFont="1" applyFill="1" applyBorder="1" applyAlignment="1" applyProtection="0">
      <alignment vertical="top" wrapText="1"/>
    </xf>
    <xf numFmtId="49" fontId="4" fillId="4" borderId="8" applyNumberFormat="1" applyFont="1" applyFill="1" applyBorder="1" applyAlignment="1" applyProtection="0">
      <alignment vertical="top" wrapText="1"/>
    </xf>
    <xf numFmtId="59" fontId="0" fillId="2" borderId="9" applyNumberFormat="1" applyFont="1" applyFill="1" applyBorder="1" applyAlignment="1" applyProtection="0">
      <alignment vertical="top" wrapText="1"/>
    </xf>
    <xf numFmtId="0" fontId="0" fillId="2" borderId="10" applyNumberFormat="1" applyFont="1" applyFill="1" applyBorder="1" applyAlignment="1" applyProtection="0">
      <alignment vertical="top" wrapText="1"/>
    </xf>
    <xf numFmtId="0" fontId="0" fillId="2" borderId="10" applyNumberFormat="0" applyFont="1" applyFill="1" applyBorder="1" applyAlignment="1" applyProtection="0">
      <alignment vertical="top" wrapText="1"/>
    </xf>
    <xf numFmtId="49" fontId="5" fillId="4" borderId="8" applyNumberFormat="1" applyFont="1" applyFill="1" applyBorder="1" applyAlignment="1" applyProtection="0">
      <alignment vertical="top" wrapText="1"/>
    </xf>
    <xf numFmtId="9" fontId="5" fillId="2" borderId="9" applyNumberFormat="1" applyFont="1" applyFill="1" applyBorder="1" applyAlignment="1" applyProtection="0">
      <alignment vertical="top" wrapText="1"/>
    </xf>
    <xf numFmtId="0" fontId="5" fillId="2" borderId="10" applyNumberFormat="1" applyFont="1" applyFill="1" applyBorder="1" applyAlignment="1" applyProtection="0">
      <alignment vertical="top" wrapText="1"/>
    </xf>
    <xf numFmtId="0" fontId="5" fillId="4" borderId="8" applyNumberFormat="0" applyFont="1" applyFill="1" applyBorder="1" applyAlignment="1" applyProtection="0">
      <alignment vertical="top" wrapText="1"/>
    </xf>
    <xf numFmtId="49" fontId="5" fillId="2" borderId="9" applyNumberFormat="1" applyFont="1" applyFill="1" applyBorder="1" applyAlignment="1" applyProtection="0">
      <alignment horizontal="right" vertical="top" wrapText="1"/>
    </xf>
    <xf numFmtId="1" fontId="5" fillId="2" borderId="10" applyNumberFormat="1" applyFont="1" applyFill="1" applyBorder="1" applyAlignment="1" applyProtection="0">
      <alignment vertical="top" wrapText="1"/>
    </xf>
    <xf numFmtId="0" fontId="4" fillId="4" borderId="8" applyNumberFormat="0" applyFont="1" applyFill="1" applyBorder="1" applyAlignment="1" applyProtection="0">
      <alignment vertical="top" wrapText="1"/>
    </xf>
    <xf numFmtId="0" fontId="0" fillId="2" borderId="9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a5a5a5"/>
      <rgbColor rgb="ffbdc0bf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0"/>
  <sheetViews>
    <sheetView workbookViewId="0" showGridLines="0" defaultGridColor="1"/>
  </sheetViews>
  <sheetFormatPr defaultColWidth="16.3333" defaultRowHeight="19.9" customHeight="1" outlineLevelRow="0" outlineLevelCol="0"/>
  <cols>
    <col min="1" max="1" width="36.1719" style="1" customWidth="1"/>
    <col min="2" max="9" width="16.3516" style="1" customWidth="1"/>
    <col min="10" max="16384" width="16.3516" style="1" customWidth="1"/>
  </cols>
  <sheetData>
    <row r="1" ht="48.3" customHeight="1">
      <c r="A1" t="s" s="2">
        <v>0</v>
      </c>
      <c r="B1" s="3"/>
      <c r="C1" s="3"/>
      <c r="D1" s="3"/>
      <c r="E1" s="3"/>
      <c r="F1" s="3"/>
      <c r="G1" s="3"/>
      <c r="H1" s="3"/>
      <c r="I1" s="4"/>
    </row>
    <row r="2" ht="32.25" customHeight="1">
      <c r="A2" t="s" s="5">
        <v>1</v>
      </c>
      <c r="B2" t="s" s="5">
        <v>2</v>
      </c>
      <c r="C2" t="s" s="5">
        <v>3</v>
      </c>
      <c r="D2" t="s" s="5">
        <v>4</v>
      </c>
      <c r="E2" t="s" s="5">
        <v>5</v>
      </c>
      <c r="F2" t="s" s="5">
        <v>6</v>
      </c>
      <c r="G2" t="s" s="5">
        <v>7</v>
      </c>
      <c r="H2" t="s" s="5">
        <v>8</v>
      </c>
      <c r="I2" t="s" s="5">
        <v>9</v>
      </c>
    </row>
    <row r="3" ht="20.25" customHeight="1">
      <c r="A3" t="s" s="6">
        <v>10</v>
      </c>
      <c r="B3" s="7">
        <v>45992</v>
      </c>
      <c r="C3" s="8">
        <v>50</v>
      </c>
      <c r="D3" s="8">
        <v>50</v>
      </c>
      <c r="E3" s="8">
        <v>50</v>
      </c>
      <c r="F3" s="8">
        <v>50</v>
      </c>
      <c r="G3" s="8">
        <v>50</v>
      </c>
      <c r="H3" s="8">
        <v>50</v>
      </c>
      <c r="I3" s="8" cm="1">
        <f t="array" ref="I3">C3*0.2</f>
        <v>10</v>
      </c>
    </row>
    <row r="4" ht="20.05" customHeight="1">
      <c r="A4" t="s" s="9">
        <v>11</v>
      </c>
      <c r="B4" s="10">
        <v>46006</v>
      </c>
      <c r="C4" s="11">
        <v>50</v>
      </c>
      <c r="D4" s="11">
        <v>50</v>
      </c>
      <c r="E4" s="11">
        <v>50</v>
      </c>
      <c r="F4" s="11">
        <v>50</v>
      </c>
      <c r="G4" s="11">
        <v>50</v>
      </c>
      <c r="H4" s="11">
        <v>50</v>
      </c>
      <c r="I4" s="11" cm="1">
        <f t="array" ref="I4">C4*0.2</f>
        <v>10</v>
      </c>
    </row>
    <row r="5" ht="20.05" customHeight="1">
      <c r="A5" t="s" s="9">
        <v>12</v>
      </c>
      <c r="B5" s="10">
        <v>46037</v>
      </c>
      <c r="C5" s="11">
        <v>50</v>
      </c>
      <c r="D5" s="11">
        <v>50</v>
      </c>
      <c r="E5" s="11">
        <v>50</v>
      </c>
      <c r="F5" s="11">
        <v>50</v>
      </c>
      <c r="G5" s="11">
        <v>50</v>
      </c>
      <c r="H5" s="11">
        <v>50</v>
      </c>
      <c r="I5" s="11" cm="1">
        <f t="array" ref="I5">C5*0.2</f>
        <v>10</v>
      </c>
    </row>
    <row r="6" ht="20.05" customHeight="1">
      <c r="A6" t="s" s="9">
        <v>13</v>
      </c>
      <c r="B6" s="10">
        <v>46054</v>
      </c>
      <c r="C6" s="11">
        <v>50</v>
      </c>
      <c r="D6" s="12"/>
      <c r="E6" s="12"/>
      <c r="F6" s="12"/>
      <c r="G6" s="12"/>
      <c r="H6" s="12"/>
      <c r="I6" s="11" cm="1">
        <f t="array" ref="I6">C6*0.2</f>
        <v>10</v>
      </c>
    </row>
    <row r="7" ht="20.05" customHeight="1">
      <c r="A7" t="s" s="9">
        <v>14</v>
      </c>
      <c r="B7" s="10">
        <v>46054</v>
      </c>
      <c r="C7" s="11">
        <v>50</v>
      </c>
      <c r="D7" s="12"/>
      <c r="E7" s="12"/>
      <c r="F7" s="12"/>
      <c r="G7" s="12"/>
      <c r="H7" s="12"/>
      <c r="I7" s="11" cm="1">
        <f t="array" ref="I7">C7*0.2</f>
        <v>10</v>
      </c>
    </row>
    <row r="8" ht="20.05" customHeight="1">
      <c r="A8" t="s" s="9">
        <v>15</v>
      </c>
      <c r="B8" s="10">
        <v>46068</v>
      </c>
      <c r="C8" s="11">
        <v>50</v>
      </c>
      <c r="D8" s="12"/>
      <c r="E8" s="12"/>
      <c r="F8" s="12"/>
      <c r="G8" s="12"/>
      <c r="H8" s="12"/>
      <c r="I8" s="11" cm="1">
        <f t="array" ref="I8">C8*0.2</f>
        <v>10</v>
      </c>
    </row>
    <row r="9" ht="20.05" customHeight="1">
      <c r="A9" t="s" s="9">
        <v>16</v>
      </c>
      <c r="B9" s="10">
        <v>46081</v>
      </c>
      <c r="C9" s="11">
        <v>50</v>
      </c>
      <c r="D9" s="12"/>
      <c r="E9" s="12"/>
      <c r="F9" s="12"/>
      <c r="G9" s="12"/>
      <c r="H9" s="12"/>
      <c r="I9" s="11" cm="1">
        <f t="array" ref="I9">C9*0.2</f>
        <v>10</v>
      </c>
    </row>
    <row r="10" ht="20.05" customHeight="1">
      <c r="A10" t="s" s="9">
        <v>17</v>
      </c>
      <c r="B10" s="10">
        <v>46088</v>
      </c>
      <c r="C10" s="11">
        <v>100</v>
      </c>
      <c r="D10" s="12"/>
      <c r="E10" s="12"/>
      <c r="F10" s="12"/>
      <c r="G10" s="12"/>
      <c r="H10" s="12"/>
      <c r="I10" s="11" cm="1">
        <f t="array" ref="I10">C10*0.2</f>
        <v>20</v>
      </c>
    </row>
    <row r="11" ht="20.5" customHeight="1">
      <c r="A11" t="s" s="9">
        <v>18</v>
      </c>
      <c r="B11" s="10">
        <v>46104</v>
      </c>
      <c r="C11" s="11">
        <v>50</v>
      </c>
      <c r="D11" s="12"/>
      <c r="E11" s="12"/>
      <c r="F11" s="12"/>
      <c r="G11" s="12"/>
      <c r="H11" s="12"/>
      <c r="I11" s="11" cm="1">
        <f t="array" ref="I11">C11*0.2</f>
        <v>10</v>
      </c>
    </row>
    <row r="12" ht="21.15" customHeight="1">
      <c r="A12" t="s" s="9">
        <v>19</v>
      </c>
      <c r="B12" s="10">
        <v>46104</v>
      </c>
      <c r="C12" s="11">
        <v>50</v>
      </c>
      <c r="D12" s="12"/>
      <c r="E12" s="12"/>
      <c r="F12" s="12"/>
      <c r="G12" s="12"/>
      <c r="H12" s="12"/>
      <c r="I12" s="11" cm="1">
        <f t="array" ref="I12">C12*0.2</f>
        <v>10</v>
      </c>
    </row>
    <row r="13" ht="20.05" customHeight="1">
      <c r="A13" t="s" s="9">
        <v>20</v>
      </c>
      <c r="B13" s="10">
        <v>46114</v>
      </c>
      <c r="C13" s="11">
        <v>50</v>
      </c>
      <c r="D13" s="12"/>
      <c r="E13" s="12"/>
      <c r="F13" s="12"/>
      <c r="G13" s="12"/>
      <c r="H13" s="12"/>
      <c r="I13" s="11" cm="1">
        <f t="array" ref="I13">C13*0.2</f>
        <v>10</v>
      </c>
    </row>
    <row r="14" ht="20.05" customHeight="1">
      <c r="A14" t="s" s="9">
        <v>21</v>
      </c>
      <c r="B14" s="10">
        <v>46121</v>
      </c>
      <c r="C14" s="11">
        <v>100</v>
      </c>
      <c r="D14" s="12"/>
      <c r="E14" s="12"/>
      <c r="F14" s="12"/>
      <c r="G14" s="12"/>
      <c r="H14" s="12"/>
      <c r="I14" s="11" cm="1">
        <f t="array" ref="I14">C14*0.2</f>
        <v>20</v>
      </c>
    </row>
    <row r="15" ht="20.05" customHeight="1">
      <c r="A15" t="s" s="9">
        <v>22</v>
      </c>
      <c r="B15" s="10">
        <v>46128</v>
      </c>
      <c r="C15" s="11">
        <v>100</v>
      </c>
      <c r="D15" s="12"/>
      <c r="E15" s="12"/>
      <c r="F15" s="12"/>
      <c r="G15" s="12"/>
      <c r="H15" s="12"/>
      <c r="I15" s="11" cm="1">
        <f t="array" ref="I15">C15*0.2</f>
        <v>20</v>
      </c>
    </row>
    <row r="16" ht="20.05" customHeight="1">
      <c r="A16" t="s" s="9">
        <v>23</v>
      </c>
      <c r="B16" s="10">
        <v>46174</v>
      </c>
      <c r="C16" s="11">
        <v>100</v>
      </c>
      <c r="D16" s="12"/>
      <c r="E16" s="12"/>
      <c r="F16" s="12"/>
      <c r="G16" s="12"/>
      <c r="H16" s="12"/>
      <c r="I16" s="11" cm="1">
        <f t="array" ref="I16">C16*0.2</f>
        <v>20</v>
      </c>
    </row>
    <row r="17" ht="20.05" customHeight="1">
      <c r="A17" t="s" s="9">
        <v>24</v>
      </c>
      <c r="B17" s="10">
        <v>46170</v>
      </c>
      <c r="C17" s="11">
        <v>150</v>
      </c>
      <c r="D17" s="12"/>
      <c r="E17" s="12"/>
      <c r="F17" s="12"/>
      <c r="G17" s="12"/>
      <c r="H17" s="12"/>
      <c r="I17" s="11" cm="1">
        <f t="array" ref="I17">C17*0.2</f>
        <v>30</v>
      </c>
    </row>
    <row r="18" ht="20.05" customHeight="1">
      <c r="A18" t="s" s="9">
        <v>25</v>
      </c>
      <c r="B18" s="10">
        <v>46183</v>
      </c>
      <c r="C18" s="11">
        <v>300</v>
      </c>
      <c r="D18" s="12"/>
      <c r="E18" s="12"/>
      <c r="F18" s="12"/>
      <c r="G18" s="12"/>
      <c r="H18" s="12"/>
      <c r="I18" s="11" cm="1">
        <f t="array" ref="I18">C18*0.2</f>
        <v>60</v>
      </c>
    </row>
    <row r="19" ht="20.05" customHeight="1">
      <c r="A19" t="s" s="9">
        <v>26</v>
      </c>
      <c r="B19" s="10">
        <v>46183</v>
      </c>
      <c r="C19" s="11">
        <v>300</v>
      </c>
      <c r="D19" s="12"/>
      <c r="E19" s="12"/>
      <c r="F19" s="12"/>
      <c r="G19" s="12"/>
      <c r="H19" s="12"/>
      <c r="I19" s="11" cm="1">
        <f t="array" ref="I19">C19*0.2</f>
        <v>60</v>
      </c>
    </row>
    <row r="20" ht="20.05" customHeight="1">
      <c r="A20" t="s" s="9">
        <v>27</v>
      </c>
      <c r="B20" s="10">
        <v>46183</v>
      </c>
      <c r="C20" s="11">
        <v>200</v>
      </c>
      <c r="D20" s="12"/>
      <c r="E20" s="12"/>
      <c r="F20" s="12"/>
      <c r="G20" s="12"/>
      <c r="H20" s="12"/>
      <c r="I20" s="11" cm="1">
        <f t="array" ref="I20">C20*0.2</f>
        <v>40</v>
      </c>
    </row>
    <row r="21" ht="20.05" customHeight="1">
      <c r="A21" t="s" s="9">
        <v>28</v>
      </c>
      <c r="B21" s="10">
        <v>46183</v>
      </c>
      <c r="C21" s="11">
        <v>150</v>
      </c>
      <c r="D21" s="12"/>
      <c r="E21" s="12"/>
      <c r="F21" s="12"/>
      <c r="G21" s="12"/>
      <c r="H21" s="12"/>
      <c r="I21" s="11" cm="1">
        <f t="array" ref="I21">C21*0.2</f>
        <v>30</v>
      </c>
    </row>
    <row r="22" ht="30.8" customHeight="1">
      <c r="A22" t="s" s="13">
        <v>29</v>
      </c>
      <c r="B22" s="14">
        <v>1</v>
      </c>
      <c r="C22" s="15" cm="1">
        <f t="array" ref="C22">SUM(C3:C21)</f>
        <v>2000</v>
      </c>
      <c r="D22" s="11" cm="1">
        <f t="array" ref="D22">SUM(D3:D21)</f>
        <v>150</v>
      </c>
      <c r="E22" s="11" cm="1">
        <f t="array" ref="E22">SUM(E3:E21)</f>
        <v>150</v>
      </c>
      <c r="F22" s="11" cm="1">
        <f t="array" ref="F22">SUM(F3:F21)</f>
        <v>150</v>
      </c>
      <c r="G22" s="11" cm="1">
        <f t="array" ref="G22">SUM(G3:G21)</f>
        <v>150</v>
      </c>
      <c r="H22" s="11" cm="1">
        <f t="array" ref="H22">SUM(H3:H21)</f>
        <v>150</v>
      </c>
      <c r="I22" s="12"/>
    </row>
    <row r="23" ht="30.8" customHeight="1">
      <c r="A23" s="16"/>
      <c r="B23" t="s" s="17">
        <v>30</v>
      </c>
      <c r="C23" s="18" cm="1">
        <f t="array" ref="C23">C22*0.93</f>
        <v>1860</v>
      </c>
      <c r="D23" s="12"/>
      <c r="E23" s="12"/>
      <c r="F23" s="12"/>
      <c r="G23" s="12"/>
      <c r="H23" s="12"/>
      <c r="I23" s="12"/>
    </row>
    <row r="24" ht="30.8" customHeight="1">
      <c r="A24" s="16"/>
      <c r="B24" t="s" s="17">
        <v>31</v>
      </c>
      <c r="C24" s="18" cm="1">
        <f t="array" ref="C24">C22*0.9</f>
        <v>1800</v>
      </c>
      <c r="D24" s="12"/>
      <c r="E24" s="12"/>
      <c r="F24" s="12"/>
      <c r="G24" s="12"/>
      <c r="H24" s="12"/>
      <c r="I24" s="12"/>
    </row>
    <row r="25" ht="30.8" customHeight="1">
      <c r="A25" s="16"/>
      <c r="B25" t="s" s="17">
        <v>32</v>
      </c>
      <c r="C25" s="18" cm="1">
        <f t="array" ref="C25">C22*0.87</f>
        <v>1740</v>
      </c>
      <c r="D25" s="12"/>
      <c r="E25" s="12"/>
      <c r="F25" s="12"/>
      <c r="G25" s="12"/>
      <c r="H25" s="12"/>
      <c r="I25" s="12"/>
    </row>
    <row r="26" ht="30.8" customHeight="1">
      <c r="A26" s="16"/>
      <c r="B26" t="s" s="17">
        <v>33</v>
      </c>
      <c r="C26" s="18" cm="1">
        <f t="array" ref="C26">C22*0.83</f>
        <v>1660</v>
      </c>
      <c r="D26" s="12"/>
      <c r="E26" s="12"/>
      <c r="F26" s="12"/>
      <c r="G26" s="12"/>
      <c r="H26" s="12"/>
      <c r="I26" s="12"/>
    </row>
    <row r="27" ht="30.8" customHeight="1">
      <c r="A27" s="19"/>
      <c r="B27" t="s" s="17">
        <v>34</v>
      </c>
      <c r="C27" s="18" cm="1">
        <f t="array" ref="C27">C22*0.8</f>
        <v>1600</v>
      </c>
      <c r="D27" s="12"/>
      <c r="E27" s="12"/>
      <c r="F27" s="12"/>
      <c r="G27" s="12"/>
      <c r="H27" s="12"/>
      <c r="I27" s="12"/>
    </row>
    <row r="28" ht="30.8" customHeight="1">
      <c r="A28" s="19"/>
      <c r="B28" t="s" s="17">
        <v>35</v>
      </c>
      <c r="C28" s="18" cm="1">
        <f t="array" ref="C28">C22*0.77</f>
        <v>1540</v>
      </c>
      <c r="D28" s="12"/>
      <c r="E28" s="12"/>
      <c r="F28" s="12"/>
      <c r="G28" s="12"/>
      <c r="H28" s="12"/>
      <c r="I28" s="12"/>
    </row>
    <row r="29" ht="30.8" customHeight="1">
      <c r="A29" s="19"/>
      <c r="B29" t="s" s="17">
        <v>36</v>
      </c>
      <c r="C29" s="18" cm="1">
        <f t="array" ref="C29">C22*0.73</f>
        <v>1460</v>
      </c>
      <c r="D29" s="12"/>
      <c r="E29" s="12"/>
      <c r="F29" s="12"/>
      <c r="G29" s="12"/>
      <c r="H29" s="12"/>
      <c r="I29" s="12"/>
    </row>
    <row r="30" ht="20.05" customHeight="1">
      <c r="A30" s="19"/>
      <c r="B30" s="20"/>
      <c r="C30" s="12"/>
      <c r="D30" s="12"/>
      <c r="E30" s="12"/>
      <c r="F30" s="12"/>
      <c r="G30" s="12"/>
      <c r="H30" s="12"/>
      <c r="I30" s="12"/>
    </row>
  </sheetData>
  <mergeCells count="1">
    <mergeCell ref="A1:I1"/>
  </mergeCells>
  <pageMargins left="0.5" right="0.5" top="0.75" bottom="0.75" header="0.277778" footer="0.277778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